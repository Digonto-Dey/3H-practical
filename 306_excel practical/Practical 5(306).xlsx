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acbd-my.sharepoint.com/personal/s2210724113_ru_ac_bd/Documents/Documents/Statistics/3H/2024/306/"/>
    </mc:Choice>
  </mc:AlternateContent>
  <xr:revisionPtr revIDLastSave="0" documentId="8_{903DDC24-5CB5-4A05-90A1-541BC53418F1}" xr6:coauthVersionLast="47" xr6:coauthVersionMax="47" xr10:uidLastSave="{00000000-0000-0000-0000-000000000000}"/>
  <bookViews>
    <workbookView xWindow="-120" yWindow="-120" windowWidth="20730" windowHeight="11040" xr2:uid="{C94C7075-0781-4BA1-B2B3-4D88C1794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5" i="1" l="1"/>
  <c r="E64" i="1"/>
  <c r="E61" i="1"/>
  <c r="I46" i="1"/>
  <c r="I45" i="1"/>
  <c r="F53" i="1"/>
  <c r="F54" i="1" s="1"/>
  <c r="J28" i="1"/>
  <c r="I28" i="1"/>
  <c r="F52" i="1" s="1"/>
  <c r="F45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</calcChain>
</file>

<file path=xl/sharedStrings.xml><?xml version="1.0" encoding="utf-8"?>
<sst xmlns="http://schemas.openxmlformats.org/spreadsheetml/2006/main" count="26" uniqueCount="21">
  <si>
    <t>Cluster</t>
  </si>
  <si>
    <t>1st tree</t>
  </si>
  <si>
    <r>
      <t>2</t>
    </r>
    <r>
      <rPr>
        <b/>
        <vertAlign val="superscript"/>
        <sz val="12"/>
        <color theme="1"/>
        <rFont val="Times New Roman"/>
        <family val="1"/>
      </rPr>
      <t>nd</t>
    </r>
    <r>
      <rPr>
        <b/>
        <sz val="12"/>
        <color theme="1"/>
        <rFont val="Times New Roman"/>
        <family val="1"/>
      </rPr>
      <t xml:space="preserve"> tree</t>
    </r>
  </si>
  <si>
    <r>
      <t>3</t>
    </r>
    <r>
      <rPr>
        <b/>
        <vertAlign val="superscript"/>
        <sz val="12"/>
        <color theme="1"/>
        <rFont val="Times New Roman"/>
        <family val="1"/>
      </rPr>
      <t>rd</t>
    </r>
    <r>
      <rPr>
        <b/>
        <sz val="12"/>
        <color theme="1"/>
        <rFont val="Times New Roman"/>
        <family val="1"/>
      </rPr>
      <t xml:space="preserve">  tree</t>
    </r>
  </si>
  <si>
    <r>
      <t>4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tree</t>
    </r>
  </si>
  <si>
    <t>Problem 05</t>
  </si>
  <si>
    <t>yi bar</t>
  </si>
  <si>
    <t>Sb^2</t>
  </si>
  <si>
    <t>SE</t>
  </si>
  <si>
    <t>N</t>
  </si>
  <si>
    <t>M</t>
  </si>
  <si>
    <t>n</t>
  </si>
  <si>
    <t>b)</t>
  </si>
  <si>
    <t>S^2 hat</t>
  </si>
  <si>
    <t>Sw^2</t>
  </si>
  <si>
    <t>yi var</t>
  </si>
  <si>
    <t>a)</t>
  </si>
  <si>
    <t>ybar_cl</t>
  </si>
  <si>
    <t>var(ybar_cl)</t>
  </si>
  <si>
    <t>E hat</t>
  </si>
  <si>
    <t>p 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</si>
</sst>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theme="1"/>
      <name val="Times New Roman"/>
      <family val="1"/>
    </font>
    <font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2" borderId="0" xfId="0" applyFont="1" applyFill="1" applyAlignment="1">
      <alignment horizontal="center"/>
    </xf>
    <xf numFmtId="0" fontId="2" fillId="0" borderId="5" xfId="0" applyFont="1" applyFill="1" applyBorder="1" applyAlignment="1">
      <alignment vertical="center" wrapText="1"/>
    </xf>
    <xf numFmtId="0" fontId="1" fillId="2" borderId="0" xfId="0" applyFont="1" applyFill="1"/>
    <xf numFmtId="0" fontId="0" fillId="3" borderId="0" xfId="0" applyFill="1"/>
    <xf numFmtId="0" fontId="4" fillId="0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304800</xdr:colOff>
      <xdr:row>2</xdr:row>
      <xdr:rowOff>123825</xdr:rowOff>
    </xdr:from>
    <xdr:ext cx="5276850" cy="16383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7453A9-3A32-4733-BA4A-06A9BA073870}"/>
            </a:ext>
          </a:extLst>
        </xdr:cNvPr>
        <xdr:cNvSpPr txBox="1"/>
      </xdr:nvSpPr>
      <xdr:spPr>
        <a:xfrm>
          <a:off x="5181600" y="676275"/>
          <a:ext cx="5276850" cy="16383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/>
            <a:t>A pilot sample survey for study of cultivation practices and yield of guava was conducted by IASRI in India. From Umerpur Neerna village, out of a total of 412 bearing trees, 15 clusters of size 4 trees each were selected and yield(in kg) recorded as given below:</a:t>
          </a:r>
        </a:p>
      </xdr:txBody>
    </xdr:sp>
    <xdr:clientData/>
  </xdr:oneCellAnchor>
  <xdr:oneCellAnchor>
    <xdr:from>
      <xdr:col>8</xdr:col>
      <xdr:colOff>304800</xdr:colOff>
      <xdr:row>10</xdr:row>
      <xdr:rowOff>152400</xdr:rowOff>
    </xdr:from>
    <xdr:ext cx="5276850" cy="21336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B10420-899D-4561-90CF-F865F3FA79BB}"/>
            </a:ext>
          </a:extLst>
        </xdr:cNvPr>
        <xdr:cNvSpPr txBox="1"/>
      </xdr:nvSpPr>
      <xdr:spPr>
        <a:xfrm>
          <a:off x="5181600" y="2390775"/>
          <a:ext cx="5276850" cy="21336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/>
            <a:t>a)Estimate the average yield (in kg) per tree of guava in the Umerpur Neerna village along with standard error.</a:t>
          </a:r>
        </a:p>
        <a:p>
          <a:endParaRPr lang="en-US" sz="1600"/>
        </a:p>
        <a:p>
          <a:r>
            <a:rPr lang="en-US" sz="1600"/>
            <a:t>b) Estimate the intra cluster correlation coefficient between trees within clusters and efficiency of cluster sampling as compared to SRS sampling.</a:t>
          </a:r>
        </a:p>
        <a:p>
          <a:endParaRPr lang="en-US" sz="1600"/>
        </a:p>
        <a:p>
          <a:r>
            <a:rPr lang="en-US" sz="1600"/>
            <a:t>c) Comments on your findings.</a:t>
          </a:r>
        </a:p>
      </xdr:txBody>
    </xdr:sp>
    <xdr:clientData/>
  </xdr:oneCellAnchor>
  <xdr:twoCellAnchor editAs="oneCell">
    <xdr:from>
      <xdr:col>6</xdr:col>
      <xdr:colOff>385464</xdr:colOff>
      <xdr:row>53</xdr:row>
      <xdr:rowOff>114682</xdr:rowOff>
    </xdr:from>
    <xdr:to>
      <xdr:col>10</xdr:col>
      <xdr:colOff>309732</xdr:colOff>
      <xdr:row>57</xdr:row>
      <xdr:rowOff>171351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BE2D57-BFAC-43CB-B4B4-55A0BCA4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7986" y="11031160"/>
          <a:ext cx="3129637" cy="818669"/>
        </a:xfrm>
        <a:prstGeom prst="rect">
          <a:avLst/>
        </a:prstGeom>
      </xdr:spPr>
    </xdr:pic>
    <xdr:clientData/>
  </xdr:twoCellAnchor>
  <xdr:twoCellAnchor editAs="oneCell">
    <xdr:from>
      <xdr:col>7</xdr:col>
      <xdr:colOff>579783</xdr:colOff>
      <xdr:row>59</xdr:row>
      <xdr:rowOff>16565</xdr:rowOff>
    </xdr:from>
    <xdr:to>
      <xdr:col>10</xdr:col>
      <xdr:colOff>235541</xdr:colOff>
      <xdr:row>66</xdr:row>
      <xdr:rowOff>54856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46CC3A-0EA4-497F-8E66-3232BD33A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5218" y="12076043"/>
          <a:ext cx="2248214" cy="1371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5B8F-3190-465D-8C16-51E3750CA06B}">
  <dimension ref="D2:J65"/>
  <sheetViews>
    <sheetView tabSelected="1" topLeftCell="A48" zoomScale="115" zoomScaleNormal="115" workbookViewId="0">
      <selection activeCell="L51" sqref="L51"/>
    </sheetView>
  </sheetViews>
  <sheetFormatPr defaultRowHeight="15" x14ac:dyDescent="0.25"/>
  <cols>
    <col min="5" max="5" width="13.140625" bestFit="1" customWidth="1"/>
    <col min="8" max="8" width="16" bestFit="1" customWidth="1"/>
    <col min="10" max="10" width="13.7109375" bestFit="1" customWidth="1"/>
    <col min="12" max="12" width="16" bestFit="1" customWidth="1"/>
  </cols>
  <sheetData>
    <row r="2" spans="4:8" ht="28.5" x14ac:dyDescent="0.45">
      <c r="D2" s="5" t="s">
        <v>5</v>
      </c>
      <c r="E2" s="5"/>
      <c r="F2" s="5"/>
      <c r="G2" s="5"/>
      <c r="H2" s="5"/>
    </row>
    <row r="4" spans="4:8" ht="15.75" thickBot="1" x14ac:dyDescent="0.3"/>
    <row r="5" spans="4:8" ht="19.5" thickBot="1" x14ac:dyDescent="0.3">
      <c r="D5" s="1" t="s">
        <v>0</v>
      </c>
      <c r="E5" s="2" t="s">
        <v>1</v>
      </c>
      <c r="F5" s="2" t="s">
        <v>2</v>
      </c>
      <c r="G5" s="2" t="s">
        <v>3</v>
      </c>
      <c r="H5" s="2" t="s">
        <v>4</v>
      </c>
    </row>
    <row r="6" spans="4:8" ht="16.5" thickBot="1" x14ac:dyDescent="0.3">
      <c r="D6" s="3">
        <v>1</v>
      </c>
      <c r="E6" s="4">
        <v>5.53</v>
      </c>
      <c r="F6" s="4">
        <v>4.84</v>
      </c>
      <c r="G6" s="4">
        <v>0.69</v>
      </c>
      <c r="H6" s="4">
        <v>15.79</v>
      </c>
    </row>
    <row r="7" spans="4:8" ht="16.5" thickBot="1" x14ac:dyDescent="0.3">
      <c r="D7" s="3">
        <v>2</v>
      </c>
      <c r="E7" s="4">
        <v>26.11</v>
      </c>
      <c r="F7" s="4">
        <v>10.93</v>
      </c>
      <c r="G7" s="4">
        <v>19.079999999999998</v>
      </c>
      <c r="H7" s="4">
        <v>11.18</v>
      </c>
    </row>
    <row r="8" spans="4:8" ht="16.5" thickBot="1" x14ac:dyDescent="0.3">
      <c r="D8" s="3">
        <v>3</v>
      </c>
      <c r="E8" s="4">
        <v>11.08</v>
      </c>
      <c r="F8" s="4">
        <v>0.65</v>
      </c>
      <c r="G8" s="4">
        <v>4.21</v>
      </c>
      <c r="H8" s="4">
        <v>7.56</v>
      </c>
    </row>
    <row r="9" spans="4:8" ht="16.5" thickBot="1" x14ac:dyDescent="0.3">
      <c r="D9" s="3">
        <v>4</v>
      </c>
      <c r="E9" s="4">
        <v>12.66</v>
      </c>
      <c r="F9" s="4">
        <v>32.520000000000003</v>
      </c>
      <c r="G9" s="4">
        <v>16.920000000000002</v>
      </c>
      <c r="H9" s="4">
        <v>37.020000000000003</v>
      </c>
    </row>
    <row r="10" spans="4:8" ht="16.5" thickBot="1" x14ac:dyDescent="0.3">
      <c r="D10" s="3">
        <v>5</v>
      </c>
      <c r="E10" s="4">
        <v>0.87</v>
      </c>
      <c r="F10" s="4">
        <v>3.56</v>
      </c>
      <c r="G10" s="4">
        <v>4.8099999999999996</v>
      </c>
      <c r="H10" s="4">
        <v>57.54</v>
      </c>
    </row>
    <row r="11" spans="4:8" ht="16.5" thickBot="1" x14ac:dyDescent="0.3">
      <c r="D11" s="3">
        <v>6</v>
      </c>
      <c r="E11" s="4">
        <v>6.4</v>
      </c>
      <c r="F11" s="4">
        <v>11.68</v>
      </c>
      <c r="G11" s="4">
        <v>40.049999999999997</v>
      </c>
      <c r="H11" s="4">
        <v>5.15</v>
      </c>
    </row>
    <row r="12" spans="4:8" ht="16.5" thickBot="1" x14ac:dyDescent="0.3">
      <c r="D12" s="3">
        <v>7</v>
      </c>
      <c r="E12" s="4">
        <v>54.21</v>
      </c>
      <c r="F12" s="4">
        <v>34.630000000000003</v>
      </c>
      <c r="G12" s="4">
        <v>52.55</v>
      </c>
      <c r="H12" s="4">
        <v>37.96</v>
      </c>
    </row>
    <row r="13" spans="4:8" ht="16.5" thickBot="1" x14ac:dyDescent="0.3">
      <c r="D13" s="3">
        <v>8</v>
      </c>
      <c r="E13" s="4">
        <v>1.94</v>
      </c>
      <c r="F13" s="4">
        <v>35.97</v>
      </c>
      <c r="G13" s="4">
        <v>29.54</v>
      </c>
      <c r="H13" s="4">
        <v>25.98</v>
      </c>
    </row>
    <row r="14" spans="4:8" ht="16.5" thickBot="1" x14ac:dyDescent="0.3">
      <c r="D14" s="3">
        <v>9</v>
      </c>
      <c r="E14" s="4">
        <v>37.94</v>
      </c>
      <c r="F14" s="4">
        <v>47.07</v>
      </c>
      <c r="G14" s="4">
        <v>16.940000000000001</v>
      </c>
      <c r="H14" s="4">
        <v>28.11</v>
      </c>
    </row>
    <row r="15" spans="4:8" ht="16.5" thickBot="1" x14ac:dyDescent="0.3">
      <c r="D15" s="3">
        <v>10</v>
      </c>
      <c r="E15" s="4">
        <v>56.92</v>
      </c>
      <c r="F15" s="4">
        <v>17.690000000000001</v>
      </c>
      <c r="G15" s="4">
        <v>26.24</v>
      </c>
      <c r="H15" s="4">
        <v>6.77</v>
      </c>
    </row>
    <row r="16" spans="4:8" ht="16.5" thickBot="1" x14ac:dyDescent="0.3">
      <c r="D16" s="3">
        <v>11</v>
      </c>
      <c r="E16" s="4">
        <v>27.59</v>
      </c>
      <c r="F16" s="4">
        <v>38.1</v>
      </c>
      <c r="G16" s="4">
        <v>24.76</v>
      </c>
      <c r="H16" s="4">
        <v>6.53</v>
      </c>
    </row>
    <row r="17" spans="4:10" ht="16.5" thickBot="1" x14ac:dyDescent="0.3">
      <c r="D17" s="3">
        <v>12</v>
      </c>
      <c r="E17" s="4">
        <v>45.98</v>
      </c>
      <c r="F17" s="4">
        <v>5.17</v>
      </c>
      <c r="G17" s="4">
        <v>1.17</v>
      </c>
      <c r="H17" s="4">
        <v>6.53</v>
      </c>
    </row>
    <row r="18" spans="4:10" ht="16.5" thickBot="1" x14ac:dyDescent="0.3">
      <c r="D18" s="3">
        <v>13</v>
      </c>
      <c r="E18" s="4">
        <v>7.13</v>
      </c>
      <c r="F18" s="4">
        <v>34.35</v>
      </c>
      <c r="G18" s="4">
        <v>12.18</v>
      </c>
      <c r="H18" s="4">
        <v>9.86</v>
      </c>
    </row>
    <row r="19" spans="4:10" ht="16.5" thickBot="1" x14ac:dyDescent="0.3">
      <c r="D19" s="3">
        <v>14</v>
      </c>
      <c r="E19" s="4">
        <v>14.23</v>
      </c>
      <c r="F19" s="4">
        <v>16.89</v>
      </c>
      <c r="G19" s="4">
        <v>28.93</v>
      </c>
      <c r="H19" s="4">
        <v>21.7</v>
      </c>
    </row>
    <row r="20" spans="4:10" ht="16.5" thickBot="1" x14ac:dyDescent="0.3">
      <c r="D20" s="3">
        <v>15</v>
      </c>
      <c r="E20" s="4">
        <v>3.53</v>
      </c>
      <c r="F20" s="4">
        <v>40.76</v>
      </c>
      <c r="G20" s="4">
        <v>5.15</v>
      </c>
      <c r="H20" s="4">
        <v>1.25</v>
      </c>
    </row>
    <row r="26" spans="4:10" ht="15.75" thickBot="1" x14ac:dyDescent="0.3"/>
    <row r="27" spans="4:10" ht="19.5" thickBot="1" x14ac:dyDescent="0.3">
      <c r="D27" s="1" t="s">
        <v>0</v>
      </c>
      <c r="E27" s="2" t="s">
        <v>1</v>
      </c>
      <c r="F27" s="2" t="s">
        <v>2</v>
      </c>
      <c r="G27" s="2" t="s">
        <v>3</v>
      </c>
      <c r="H27" s="2" t="s">
        <v>4</v>
      </c>
      <c r="I27" s="2" t="s">
        <v>6</v>
      </c>
      <c r="J27" s="6" t="s">
        <v>15</v>
      </c>
    </row>
    <row r="28" spans="4:10" ht="16.5" thickBot="1" x14ac:dyDescent="0.3">
      <c r="D28" s="3">
        <v>1</v>
      </c>
      <c r="E28" s="4">
        <v>5.53</v>
      </c>
      <c r="F28" s="4">
        <v>4.84</v>
      </c>
      <c r="G28" s="4">
        <v>0.69</v>
      </c>
      <c r="H28" s="4">
        <v>15.79</v>
      </c>
      <c r="I28" s="4">
        <f>AVERAGE(E28:H28)</f>
        <v>6.7125000000000004</v>
      </c>
      <c r="J28">
        <f>_xlfn.VAR.S(E28:H28)</f>
        <v>41.19202499999998</v>
      </c>
    </row>
    <row r="29" spans="4:10" ht="16.5" thickBot="1" x14ac:dyDescent="0.3">
      <c r="D29" s="3">
        <v>2</v>
      </c>
      <c r="E29" s="4">
        <v>26.11</v>
      </c>
      <c r="F29" s="4">
        <v>10.93</v>
      </c>
      <c r="G29" s="4">
        <v>19.079999999999998</v>
      </c>
      <c r="H29" s="4">
        <v>11.18</v>
      </c>
      <c r="I29" s="4">
        <f t="shared" ref="I29:I42" si="0">AVERAGE(E29:H29)</f>
        <v>16.824999999999999</v>
      </c>
      <c r="J29">
        <f t="shared" ref="J29:J42" si="1">_xlfn.VAR.S(E29:H29)</f>
        <v>52.637766666666643</v>
      </c>
    </row>
    <row r="30" spans="4:10" ht="16.5" thickBot="1" x14ac:dyDescent="0.3">
      <c r="D30" s="3">
        <v>3</v>
      </c>
      <c r="E30" s="4">
        <v>11.08</v>
      </c>
      <c r="F30" s="4">
        <v>0.65</v>
      </c>
      <c r="G30" s="4">
        <v>4.21</v>
      </c>
      <c r="H30" s="4">
        <v>7.56</v>
      </c>
      <c r="I30" s="4">
        <f t="shared" si="0"/>
        <v>5.875</v>
      </c>
      <c r="J30">
        <f t="shared" si="1"/>
        <v>20.001366666666666</v>
      </c>
    </row>
    <row r="31" spans="4:10" ht="16.5" thickBot="1" x14ac:dyDescent="0.3">
      <c r="D31" s="3">
        <v>4</v>
      </c>
      <c r="E31" s="4">
        <v>12.66</v>
      </c>
      <c r="F31" s="4">
        <v>32.520000000000003</v>
      </c>
      <c r="G31" s="4">
        <v>16.920000000000002</v>
      </c>
      <c r="H31" s="4">
        <v>37.020000000000003</v>
      </c>
      <c r="I31" s="4">
        <f t="shared" si="0"/>
        <v>24.78</v>
      </c>
      <c r="J31">
        <f t="shared" si="1"/>
        <v>139.46640000000011</v>
      </c>
    </row>
    <row r="32" spans="4:10" ht="16.5" thickBot="1" x14ac:dyDescent="0.3">
      <c r="D32" s="3">
        <v>5</v>
      </c>
      <c r="E32" s="4">
        <v>0.87</v>
      </c>
      <c r="F32" s="4">
        <v>3.56</v>
      </c>
      <c r="G32" s="4">
        <v>4.8099999999999996</v>
      </c>
      <c r="H32" s="4">
        <v>57.54</v>
      </c>
      <c r="I32" s="4">
        <f t="shared" si="0"/>
        <v>16.695</v>
      </c>
      <c r="J32">
        <f t="shared" si="1"/>
        <v>744.17536666666672</v>
      </c>
    </row>
    <row r="33" spans="4:10" ht="16.5" thickBot="1" x14ac:dyDescent="0.3">
      <c r="D33" s="3">
        <v>6</v>
      </c>
      <c r="E33" s="4">
        <v>6.4</v>
      </c>
      <c r="F33" s="4">
        <v>11.68</v>
      </c>
      <c r="G33" s="4">
        <v>40.049999999999997</v>
      </c>
      <c r="H33" s="4">
        <v>5.15</v>
      </c>
      <c r="I33" s="4">
        <f t="shared" si="0"/>
        <v>15.819999999999999</v>
      </c>
      <c r="J33">
        <f t="shared" si="1"/>
        <v>268.9392666666667</v>
      </c>
    </row>
    <row r="34" spans="4:10" ht="16.5" thickBot="1" x14ac:dyDescent="0.3">
      <c r="D34" s="3">
        <v>7</v>
      </c>
      <c r="E34" s="4">
        <v>54.21</v>
      </c>
      <c r="F34" s="4">
        <v>34.630000000000003</v>
      </c>
      <c r="G34" s="4">
        <v>52.55</v>
      </c>
      <c r="H34" s="4">
        <v>37.96</v>
      </c>
      <c r="I34" s="4">
        <f t="shared" si="0"/>
        <v>44.837499999999999</v>
      </c>
      <c r="J34">
        <f t="shared" si="1"/>
        <v>99.606491666667054</v>
      </c>
    </row>
    <row r="35" spans="4:10" ht="16.5" thickBot="1" x14ac:dyDescent="0.3">
      <c r="D35" s="3">
        <v>8</v>
      </c>
      <c r="E35" s="4">
        <v>1.94</v>
      </c>
      <c r="F35" s="4">
        <v>35.97</v>
      </c>
      <c r="G35" s="4">
        <v>29.54</v>
      </c>
      <c r="H35" s="4">
        <v>25.98</v>
      </c>
      <c r="I35" s="4">
        <f t="shared" si="0"/>
        <v>23.357499999999998</v>
      </c>
      <c r="J35">
        <f t="shared" si="1"/>
        <v>220.96175833333336</v>
      </c>
    </row>
    <row r="36" spans="4:10" ht="16.5" thickBot="1" x14ac:dyDescent="0.3">
      <c r="D36" s="3">
        <v>9</v>
      </c>
      <c r="E36" s="4">
        <v>37.94</v>
      </c>
      <c r="F36" s="4">
        <v>47.07</v>
      </c>
      <c r="G36" s="4">
        <v>16.940000000000001</v>
      </c>
      <c r="H36" s="4">
        <v>28.11</v>
      </c>
      <c r="I36" s="4">
        <f t="shared" si="0"/>
        <v>32.515000000000001</v>
      </c>
      <c r="J36">
        <f t="shared" si="1"/>
        <v>167.75443333333291</v>
      </c>
    </row>
    <row r="37" spans="4:10" ht="16.5" thickBot="1" x14ac:dyDescent="0.3">
      <c r="D37" s="3">
        <v>10</v>
      </c>
      <c r="E37" s="4">
        <v>56.92</v>
      </c>
      <c r="F37" s="4">
        <v>17.690000000000001</v>
      </c>
      <c r="G37" s="4">
        <v>26.24</v>
      </c>
      <c r="H37" s="4">
        <v>6.77</v>
      </c>
      <c r="I37" s="4">
        <f t="shared" si="0"/>
        <v>26.904999999999998</v>
      </c>
      <c r="J37">
        <f t="shared" si="1"/>
        <v>463.89230000000026</v>
      </c>
    </row>
    <row r="38" spans="4:10" ht="16.5" thickBot="1" x14ac:dyDescent="0.3">
      <c r="D38" s="3">
        <v>11</v>
      </c>
      <c r="E38" s="4">
        <v>27.59</v>
      </c>
      <c r="F38" s="4">
        <v>38.1</v>
      </c>
      <c r="G38" s="4">
        <v>24.76</v>
      </c>
      <c r="H38" s="4">
        <v>6.53</v>
      </c>
      <c r="I38" s="4">
        <f t="shared" si="0"/>
        <v>24.245000000000001</v>
      </c>
      <c r="J38">
        <f t="shared" si="1"/>
        <v>172.41216666666651</v>
      </c>
    </row>
    <row r="39" spans="4:10" ht="16.5" thickBot="1" x14ac:dyDescent="0.3">
      <c r="D39" s="3">
        <v>12</v>
      </c>
      <c r="E39" s="4">
        <v>45.98</v>
      </c>
      <c r="F39" s="4">
        <v>5.17</v>
      </c>
      <c r="G39" s="4">
        <v>1.17</v>
      </c>
      <c r="H39" s="4">
        <v>6.53</v>
      </c>
      <c r="I39" s="4">
        <f t="shared" si="0"/>
        <v>14.7125</v>
      </c>
      <c r="J39">
        <f t="shared" si="1"/>
        <v>439.68949166666653</v>
      </c>
    </row>
    <row r="40" spans="4:10" ht="16.5" thickBot="1" x14ac:dyDescent="0.3">
      <c r="D40" s="3">
        <v>13</v>
      </c>
      <c r="E40" s="4">
        <v>7.13</v>
      </c>
      <c r="F40" s="4">
        <v>34.35</v>
      </c>
      <c r="G40" s="4">
        <v>12.18</v>
      </c>
      <c r="H40" s="4">
        <v>9.86</v>
      </c>
      <c r="I40" s="4">
        <f t="shared" si="0"/>
        <v>15.88</v>
      </c>
      <c r="J40">
        <f t="shared" si="1"/>
        <v>155.87793333333332</v>
      </c>
    </row>
    <row r="41" spans="4:10" ht="16.5" thickBot="1" x14ac:dyDescent="0.3">
      <c r="D41" s="3">
        <v>14</v>
      </c>
      <c r="E41" s="4">
        <v>14.23</v>
      </c>
      <c r="F41" s="4">
        <v>16.89</v>
      </c>
      <c r="G41" s="4">
        <v>28.93</v>
      </c>
      <c r="H41" s="4">
        <v>21.7</v>
      </c>
      <c r="I41" s="4">
        <f t="shared" si="0"/>
        <v>20.4375</v>
      </c>
      <c r="J41">
        <f t="shared" si="1"/>
        <v>41.611425000000054</v>
      </c>
    </row>
    <row r="42" spans="4:10" ht="16.5" thickBot="1" x14ac:dyDescent="0.3">
      <c r="D42" s="3">
        <v>15</v>
      </c>
      <c r="E42" s="4">
        <v>3.53</v>
      </c>
      <c r="F42" s="4">
        <v>40.76</v>
      </c>
      <c r="G42" s="4">
        <v>5.15</v>
      </c>
      <c r="H42" s="4">
        <v>1.25</v>
      </c>
      <c r="I42" s="4">
        <f t="shared" si="0"/>
        <v>12.672499999999999</v>
      </c>
      <c r="J42">
        <f t="shared" si="1"/>
        <v>353.18482499999999</v>
      </c>
    </row>
    <row r="43" spans="4:10" ht="16.5" thickBot="1" x14ac:dyDescent="0.3">
      <c r="D43" s="3"/>
      <c r="E43" s="4"/>
      <c r="F43" s="4"/>
      <c r="G43" s="4"/>
      <c r="H43" s="4"/>
      <c r="I43" s="4"/>
      <c r="J43" s="9"/>
    </row>
    <row r="45" spans="4:10" x14ac:dyDescent="0.25">
      <c r="E45" s="8" t="s">
        <v>9</v>
      </c>
      <c r="F45" s="8">
        <f>412/4</f>
        <v>103</v>
      </c>
      <c r="H45" t="s">
        <v>7</v>
      </c>
      <c r="I45">
        <f>_xlfn.VAR.S(I28:I42)</f>
        <v>99.026315059523839</v>
      </c>
    </row>
    <row r="46" spans="4:10" x14ac:dyDescent="0.25">
      <c r="E46" s="8" t="s">
        <v>10</v>
      </c>
      <c r="F46" s="8">
        <v>4</v>
      </c>
      <c r="H46" t="s">
        <v>14</v>
      </c>
      <c r="I46">
        <f>AVERAGE(J28:J42)</f>
        <v>225.42686777777777</v>
      </c>
    </row>
    <row r="47" spans="4:10" x14ac:dyDescent="0.25">
      <c r="E47" s="8" t="s">
        <v>11</v>
      </c>
      <c r="F47" s="8">
        <v>15</v>
      </c>
    </row>
    <row r="51" spans="4:6" x14ac:dyDescent="0.25">
      <c r="D51" s="7" t="s">
        <v>16</v>
      </c>
    </row>
    <row r="52" spans="4:6" x14ac:dyDescent="0.25">
      <c r="E52" t="s">
        <v>17</v>
      </c>
      <c r="F52">
        <f>AVERAGE(I28:I42)</f>
        <v>20.151333333333334</v>
      </c>
    </row>
    <row r="53" spans="4:6" x14ac:dyDescent="0.25">
      <c r="E53" t="s">
        <v>18</v>
      </c>
      <c r="F53">
        <f>(F45-F47)/(F45*F47)*I45</f>
        <v>5.6403338027431058</v>
      </c>
    </row>
    <row r="54" spans="4:6" x14ac:dyDescent="0.25">
      <c r="E54" t="s">
        <v>8</v>
      </c>
      <c r="F54">
        <f>SQRT(F53)</f>
        <v>2.3749386945231041</v>
      </c>
    </row>
    <row r="59" spans="4:6" x14ac:dyDescent="0.25">
      <c r="D59" s="7" t="s">
        <v>12</v>
      </c>
    </row>
    <row r="61" spans="4:6" x14ac:dyDescent="0.25">
      <c r="D61" t="s">
        <v>13</v>
      </c>
      <c r="E61">
        <f>1/(F46*F45-1)*(F45*(F46-1)*I46 + (F45-1)*F46*I45)</f>
        <v>267.78500897230913</v>
      </c>
    </row>
    <row r="64" spans="4:6" x14ac:dyDescent="0.25">
      <c r="D64" t="s">
        <v>19</v>
      </c>
      <c r="E64">
        <f>E61/(F46*I45)</f>
        <v>0.67604507148263049</v>
      </c>
    </row>
    <row r="65" spans="4:5" x14ac:dyDescent="0.25">
      <c r="D65" t="s">
        <v>20</v>
      </c>
      <c r="E65">
        <f>(1-E64)/((F46-1)*E64)</f>
        <v>0.15973043917861171</v>
      </c>
    </row>
  </sheetData>
  <mergeCells count="1">
    <mergeCell ref="D2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 E Elahi</dc:creator>
  <cp:lastModifiedBy>Ashik E Elahi</cp:lastModifiedBy>
  <dcterms:created xsi:type="dcterms:W3CDTF">2025-10-17T12:48:44Z</dcterms:created>
  <dcterms:modified xsi:type="dcterms:W3CDTF">2025-10-17T13:59:22Z</dcterms:modified>
</cp:coreProperties>
</file>