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acbd-my.sharepoint.com/personal/s2210724113_ru_ac_bd/Documents/Documents/Statistics/3H/2024/306/"/>
    </mc:Choice>
  </mc:AlternateContent>
  <xr:revisionPtr revIDLastSave="0" documentId="8_{F7F25685-F76B-4ABB-A2C9-E39BCBF393F0}" xr6:coauthVersionLast="47" xr6:coauthVersionMax="47" xr10:uidLastSave="{00000000-0000-0000-0000-000000000000}"/>
  <bookViews>
    <workbookView xWindow="-120" yWindow="-120" windowWidth="20730" windowHeight="11040" xr2:uid="{B16E773A-CE96-45CF-B8F5-C5E8E0132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C34" i="1"/>
  <c r="C30" i="1"/>
  <c r="C29" i="1"/>
  <c r="F26" i="1"/>
  <c r="G24" i="1"/>
  <c r="G23" i="1"/>
  <c r="G22" i="1"/>
  <c r="F22" i="1"/>
  <c r="F23" i="1"/>
  <c r="G21" i="1"/>
  <c r="F21" i="1"/>
  <c r="C27" i="1"/>
  <c r="G10" i="1"/>
  <c r="C26" i="1"/>
  <c r="E22" i="1"/>
  <c r="E23" i="1"/>
  <c r="E21" i="1"/>
  <c r="D23" i="1"/>
  <c r="D22" i="1"/>
  <c r="D21" i="1"/>
</calcChain>
</file>

<file path=xl/sharedStrings.xml><?xml version="1.0" encoding="utf-8"?>
<sst xmlns="http://schemas.openxmlformats.org/spreadsheetml/2006/main" count="24" uniqueCount="24">
  <si>
    <t>Cluster 1</t>
  </si>
  <si>
    <t>Cluster 2</t>
  </si>
  <si>
    <t>Cluster 3</t>
  </si>
  <si>
    <t>N</t>
  </si>
  <si>
    <t>n</t>
  </si>
  <si>
    <t>M1</t>
  </si>
  <si>
    <t>M2</t>
  </si>
  <si>
    <t>M3</t>
  </si>
  <si>
    <t>M bar</t>
  </si>
  <si>
    <t>i</t>
  </si>
  <si>
    <t>yi bar</t>
  </si>
  <si>
    <t>Mi</t>
  </si>
  <si>
    <t>ybar cl*</t>
  </si>
  <si>
    <t>M0</t>
  </si>
  <si>
    <t>yhat cl*</t>
  </si>
  <si>
    <t>variance</t>
  </si>
  <si>
    <t>Sb^2 *</t>
  </si>
  <si>
    <t>Mi yi bar</t>
  </si>
  <si>
    <t>Mi yi bar / Mbar</t>
  </si>
  <si>
    <t>A</t>
  </si>
  <si>
    <t>(A - ybar cl *)^2</t>
  </si>
  <si>
    <t>Sum</t>
  </si>
  <si>
    <t>SE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</si>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</sst>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8956-A9F0-4F32-BF4E-260C6A9EEFBB}">
  <dimension ref="B4:G34"/>
  <sheetViews>
    <sheetView tabSelected="1" topLeftCell="A13" zoomScale="130" zoomScaleNormal="130" workbookViewId="0">
      <selection activeCell="D24" sqref="D24"/>
    </sheetView>
  </sheetViews>
  <sheetFormatPr defaultRowHeight="15" x14ac:dyDescent="0.25"/>
  <cols>
    <col min="3" max="3" width="13.85546875" customWidth="1"/>
    <col min="4" max="4" width="10.140625" customWidth="1"/>
    <col min="6" max="6" width="15" bestFit="1" customWidth="1"/>
    <col min="7" max="7" width="14.5703125" bestFit="1" customWidth="1"/>
  </cols>
  <sheetData>
    <row r="4" spans="2:7" x14ac:dyDescent="0.25">
      <c r="B4" t="s">
        <v>0</v>
      </c>
      <c r="C4" t="s">
        <v>1</v>
      </c>
      <c r="D4" t="s">
        <v>2</v>
      </c>
      <c r="F4" t="s">
        <v>3</v>
      </c>
      <c r="G4">
        <v>95</v>
      </c>
    </row>
    <row r="5" spans="2:7" x14ac:dyDescent="0.25">
      <c r="B5">
        <v>41</v>
      </c>
      <c r="C5">
        <v>39</v>
      </c>
      <c r="D5">
        <v>252</v>
      </c>
      <c r="F5" t="s">
        <v>4</v>
      </c>
      <c r="G5">
        <v>3</v>
      </c>
    </row>
    <row r="6" spans="2:7" x14ac:dyDescent="0.25">
      <c r="B6">
        <v>16</v>
      </c>
      <c r="C6">
        <v>70</v>
      </c>
      <c r="D6">
        <v>386</v>
      </c>
      <c r="F6" t="s">
        <v>5</v>
      </c>
      <c r="G6">
        <v>12</v>
      </c>
    </row>
    <row r="7" spans="2:7" x14ac:dyDescent="0.25">
      <c r="B7">
        <v>19</v>
      </c>
      <c r="C7">
        <v>38</v>
      </c>
      <c r="D7">
        <v>92</v>
      </c>
      <c r="F7" t="s">
        <v>6</v>
      </c>
      <c r="G7">
        <v>10</v>
      </c>
    </row>
    <row r="8" spans="2:7" x14ac:dyDescent="0.25">
      <c r="B8">
        <v>15</v>
      </c>
      <c r="C8">
        <v>37</v>
      </c>
      <c r="D8">
        <v>293</v>
      </c>
      <c r="F8" t="s">
        <v>7</v>
      </c>
      <c r="G8">
        <v>7</v>
      </c>
    </row>
    <row r="9" spans="2:7" x14ac:dyDescent="0.25">
      <c r="B9">
        <v>144</v>
      </c>
      <c r="C9">
        <v>161</v>
      </c>
      <c r="D9">
        <v>115</v>
      </c>
      <c r="F9" t="s">
        <v>8</v>
      </c>
      <c r="G9">
        <v>10</v>
      </c>
    </row>
    <row r="10" spans="2:7" x14ac:dyDescent="0.25">
      <c r="B10">
        <v>454</v>
      </c>
      <c r="C10">
        <v>38</v>
      </c>
      <c r="D10">
        <v>59</v>
      </c>
      <c r="F10" t="s">
        <v>13</v>
      </c>
      <c r="G10">
        <f>G4*G9</f>
        <v>950</v>
      </c>
    </row>
    <row r="11" spans="2:7" x14ac:dyDescent="0.25">
      <c r="B11">
        <v>212</v>
      </c>
      <c r="C11">
        <v>27</v>
      </c>
      <c r="D11">
        <v>120</v>
      </c>
    </row>
    <row r="12" spans="2:7" x14ac:dyDescent="0.25">
      <c r="B12">
        <v>57</v>
      </c>
      <c r="C12">
        <v>219</v>
      </c>
    </row>
    <row r="13" spans="2:7" x14ac:dyDescent="0.25">
      <c r="B13">
        <v>28</v>
      </c>
      <c r="C13">
        <v>36</v>
      </c>
    </row>
    <row r="14" spans="2:7" x14ac:dyDescent="0.25">
      <c r="B14">
        <v>76</v>
      </c>
      <c r="C14">
        <v>128</v>
      </c>
    </row>
    <row r="15" spans="2:7" x14ac:dyDescent="0.25">
      <c r="B15">
        <v>119</v>
      </c>
    </row>
    <row r="16" spans="2:7" x14ac:dyDescent="0.25">
      <c r="B16">
        <v>110</v>
      </c>
    </row>
    <row r="19" spans="2:7" x14ac:dyDescent="0.25">
      <c r="F19" t="s">
        <v>19</v>
      </c>
    </row>
    <row r="20" spans="2:7" x14ac:dyDescent="0.25">
      <c r="B20" t="s">
        <v>9</v>
      </c>
      <c r="C20" t="s">
        <v>11</v>
      </c>
      <c r="D20" t="s">
        <v>10</v>
      </c>
      <c r="E20" t="s">
        <v>17</v>
      </c>
      <c r="F20" t="s">
        <v>18</v>
      </c>
      <c r="G20" t="s">
        <v>20</v>
      </c>
    </row>
    <row r="21" spans="2:7" x14ac:dyDescent="0.25">
      <c r="B21">
        <v>1</v>
      </c>
      <c r="C21">
        <v>12</v>
      </c>
      <c r="D21">
        <f>AVERAGE(B5:B16)</f>
        <v>107.58333333333333</v>
      </c>
      <c r="E21">
        <f>C21*D21</f>
        <v>1291</v>
      </c>
      <c r="F21">
        <f>E21/10</f>
        <v>129.1</v>
      </c>
      <c r="G21">
        <f>(F21-$C$26)^2</f>
        <v>247.53777777777782</v>
      </c>
    </row>
    <row r="22" spans="2:7" x14ac:dyDescent="0.25">
      <c r="B22">
        <v>2</v>
      </c>
      <c r="C22">
        <v>10</v>
      </c>
      <c r="D22">
        <f>AVERAGE(C5:C14)</f>
        <v>79.3</v>
      </c>
      <c r="E22">
        <f t="shared" ref="E22:E23" si="0">C22*D22</f>
        <v>793</v>
      </c>
      <c r="F22">
        <f>E22/10</f>
        <v>79.3</v>
      </c>
      <c r="G22">
        <f t="shared" ref="G22:G23" si="1">(F22-$C$26)^2</f>
        <v>1160.5377777777776</v>
      </c>
    </row>
    <row r="23" spans="2:7" x14ac:dyDescent="0.25">
      <c r="B23">
        <v>3</v>
      </c>
      <c r="C23">
        <v>7</v>
      </c>
      <c r="D23">
        <f>AVERAGE(D5:D11)</f>
        <v>188.14285714285714</v>
      </c>
      <c r="E23">
        <f t="shared" si="0"/>
        <v>1317</v>
      </c>
      <c r="F23">
        <f t="shared" ref="F22:F23" si="2">E23/10</f>
        <v>131.69999999999999</v>
      </c>
      <c r="G23">
        <f>(F23-$C$26)^2</f>
        <v>336.11111111111092</v>
      </c>
    </row>
    <row r="24" spans="2:7" x14ac:dyDescent="0.25">
      <c r="F24" t="s">
        <v>21</v>
      </c>
      <c r="G24">
        <f>SUM(G21:G23)</f>
        <v>1744.1866666666663</v>
      </c>
    </row>
    <row r="26" spans="2:7" x14ac:dyDescent="0.25">
      <c r="B26" t="s">
        <v>12</v>
      </c>
      <c r="C26">
        <f>SUM(E21:E23)/(G5*G9)</f>
        <v>113.36666666666666</v>
      </c>
      <c r="E26" t="s">
        <v>16</v>
      </c>
      <c r="F26">
        <f>G24/(G5-1)</f>
        <v>872.09333333333313</v>
      </c>
    </row>
    <row r="27" spans="2:7" x14ac:dyDescent="0.25">
      <c r="B27" t="s">
        <v>14</v>
      </c>
      <c r="C27">
        <f>G10*C26</f>
        <v>107698.33333333333</v>
      </c>
    </row>
    <row r="29" spans="2:7" x14ac:dyDescent="0.25">
      <c r="B29" t="s">
        <v>15</v>
      </c>
      <c r="C29">
        <f>G10^2*(G4-G5)/(G4*G5)*F26</f>
        <v>254069857.7777777</v>
      </c>
    </row>
    <row r="30" spans="2:7" x14ac:dyDescent="0.25">
      <c r="B30" t="s">
        <v>22</v>
      </c>
      <c r="C30">
        <f>SQRT(C29)</f>
        <v>15939.568933248405</v>
      </c>
    </row>
    <row r="33" spans="3:4" x14ac:dyDescent="0.25">
      <c r="C33" t="s">
        <v>23</v>
      </c>
    </row>
    <row r="34" spans="3:4" x14ac:dyDescent="0.25">
      <c r="C34">
        <f>C27-1.96*C30</f>
        <v>76456.778224166454</v>
      </c>
      <c r="D34">
        <f>C27+1.96*C30</f>
        <v>138939.8884425002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E Elahi</dc:creator>
  <cp:lastModifiedBy>Ashik E Elahi</cp:lastModifiedBy>
  <dcterms:created xsi:type="dcterms:W3CDTF">2025-10-17T13:59:47Z</dcterms:created>
  <dcterms:modified xsi:type="dcterms:W3CDTF">2025-10-17T14:17:27Z</dcterms:modified>
</cp:coreProperties>
</file>